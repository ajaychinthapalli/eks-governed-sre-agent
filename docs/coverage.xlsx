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KS Coverage" sheetId="1" state="visible" r:id="rId3"/>
    <sheet name="Summary" sheetId="2" state="visible" r:id="rId4"/>
  </sheets>
  <definedNames>
    <definedName function="false" hidden="true" localSheetId="0" name="_xlnm._FilterDatabase" vbProcedure="false">'EKS Coverage'!$A$4:$G$27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<sst xmlns="http://schemas.openxmlformats.org/spreadsheetml/2006/main" count="143" uniqueCount="80">
  <si>
    <t xml:space="preserve">EKS governed SRE agent — coverage of the architecture diagram (cluster ac-ws-dev-use2)</t>
  </si>
  <si>
    <t xml:space="preserve">Source: make verify ENV=dev (60/60 passed) and make demo ENV=dev, 2026-10-02. Status values: Met · Exceeds · Partial · Not met.</t>
  </si>
  <si>
    <t xml:space="preserve">#</t>
  </si>
  <si>
    <t xml:space="preserve">Area</t>
  </si>
  <si>
    <t xml:space="preserve">Diagram component</t>
  </si>
  <si>
    <t xml:space="preserve">Status</t>
  </si>
  <si>
    <t xml:space="preserve">On ac-ws-dev-use2</t>
  </si>
  <si>
    <t xml:space="preserve">Proof</t>
  </si>
  <si>
    <t xml:space="preserve">To close the gap</t>
  </si>
  <si>
    <t xml:space="preserve">Inside EKS box</t>
  </si>
  <si>
    <t xml:space="preserve">kagent UI, controller, triage agent</t>
  </si>
  <si>
    <t xml:space="preserve">Met</t>
  </si>
  <si>
    <t xml:space="preserve">kagent namespace; sre-triage-agent Ready</t>
  </si>
  <si>
    <t xml:space="preserve">make verify</t>
  </si>
  <si>
    <t xml:space="preserve">Port-forward for development</t>
  </si>
  <si>
    <t xml:space="preserve">make demo port-forwards the UI on 8082</t>
  </si>
  <si>
    <t xml:space="preserve">make demo</t>
  </si>
  <si>
    <t xml:space="preserve">agentgateway-proxy: ClusterIP, 2+ replicas</t>
  </si>
  <si>
    <t xml:space="preserve">ClusterIP Service, HPA min 2, PDB</t>
  </si>
  <si>
    <t xml:space="preserve">LLM route: token / request budgets</t>
  </si>
  <si>
    <t xml:space="preserve">llm-budget policy (429 when over); LLM_TOKENS_PER_MINUTE / LLM_REQUESTS_PER_MINUTE</t>
  </si>
  <si>
    <t xml:space="preserve">Observed 429 reason RateLimit; make verify</t>
  </si>
  <si>
    <t xml:space="preserve">LLM route: secret guard (AKIA…, PEM, gh…)</t>
  </si>
  <si>
    <t xml:space="preserve">Regex guardrail on the LLM route</t>
  </si>
  <si>
    <t xml:space="preserve">make verify 403; demo log: http.status 403, reason Guardrail</t>
  </si>
  <si>
    <t xml:space="preserve">MCP route: tool allowlist, 9 approved tools</t>
  </si>
  <si>
    <t xml:space="preserve">7 diagnostics + 2 remediation tools; anything else refused</t>
  </si>
  <si>
    <t xml:space="preserve">Amazon Bedrock: SigV4, Pod Identity / IAM role, via gateway only</t>
  </si>
  <si>
    <t xml:space="preserve">Pod Identity role limited to InvokeModel; no API keys</t>
  </si>
  <si>
    <t xml:space="preserve">make verify (credentials on every proxy pod; 200 from Bedrock)</t>
  </si>
  <si>
    <t xml:space="preserve">kagent-tools: MCP tool server :8084</t>
  </si>
  <si>
    <t xml:space="preserve">Read-only server, 2 replicas</t>
  </si>
  <si>
    <t xml:space="preserve">NetworkPolicy: only traffic from agentgateway-proxy</t>
  </si>
  <si>
    <t xml:space="preserve">Bypass attempts to both tool servers blocked</t>
  </si>
  <si>
    <t xml:space="preserve">Kubernetes API: ServiceAccount + namespace RBAC</t>
  </si>
  <si>
    <t xml:space="preserve">Tools see only sre-sandbox (act) and radar (read-only)</t>
  </si>
  <si>
    <t xml:space="preserve">"arc systems" application namespace</t>
  </si>
  <si>
    <t xml:space="preserve">sre-sandbox (agent may act), radar (read-only)</t>
  </si>
  <si>
    <t xml:space="preserve">Beyond the diagram</t>
  </si>
  <si>
    <t xml:space="preserve">Split tool identities</t>
  </si>
  <si>
    <t xml:space="preserve">Exceeds</t>
  </si>
  <si>
    <t xml:space="preserve">Read-only server (7 tools) and separate executor (2 tools), each with its own identity</t>
  </si>
  <si>
    <t xml:space="preserve">Remediation limits enforced by the API server</t>
  </si>
  <si>
    <t xml:space="preserve">Executor may only restart, or scale 1..MAX_REPLICAS at most doubling</t>
  </si>
  <si>
    <t xml:space="preserve">make verify (dry runs)</t>
  </si>
  <si>
    <t xml:space="preserve">Human approval for every write</t>
  </si>
  <si>
    <t xml:space="preserve">requireApproval on all remediation tools, enforced by admission policy</t>
  </si>
  <si>
    <t xml:space="preserve">Egress lockdown</t>
  </si>
  <si>
    <t xml:space="preserve">Platform pods cannot reach the internet</t>
  </si>
  <si>
    <t xml:space="preserve">Pod Security</t>
  </si>
  <si>
    <t xml:space="preserve">enforce=baseline, warn/audit=restricted on platform namespaces</t>
  </si>
  <si>
    <t xml:space="preserve">Admission policies against bypassing the gateway</t>
  </si>
  <si>
    <t xml:space="preserve">Agents / model configs / MCP servers must use the gateway; no public LoadBalancer</t>
  </si>
  <si>
    <t xml:space="preserve">Frame / fleet</t>
  </si>
  <si>
    <t xml:space="preserve">Users: OIDC + RBAC; kagent UI Auth (OIDC/RBAC)</t>
  </si>
  <si>
    <t xml:space="preserve">Not met</t>
  </si>
  <si>
    <t xml:space="preserve">KAGENT_OIDC=false; UI reachable only by cluster admins via port-forward</t>
  </si>
  <si>
    <t xml:space="preserve">—</t>
  </si>
  <si>
    <t xml:space="preserve">Set KAGENT_OIDC=true with your IdP (supported in repo, untested on this cluster)</t>
  </si>
  <si>
    <t xml:space="preserve">Footer: TLS in transit</t>
  </si>
  <si>
    <t xml:space="preserve">Partial</t>
  </si>
  <si>
    <t xml:space="preserve">Gateway → Bedrock is TLS; in-cluster calls are plain HTTP behind NetworkPolicies</t>
  </si>
  <si>
    <t xml:space="preserve">Gateway TLS listeners or a service mesh (not built)</t>
  </si>
  <si>
    <t xml:space="preserve">GitOps • per-cloud overlays</t>
  </si>
  <si>
    <t xml:space="preserve">Overlays exist (envs/ → deploy/&lt;env&gt;); dev runs DEPLOY_MODE=direct</t>
  </si>
  <si>
    <t xml:space="preserve">DEPLOY_MODE=gitops via Argo CD (required for prod; untested on this cluster)</t>
  </si>
  <si>
    <t xml:space="preserve">Policy &amp; audit (OPA / policy as code)</t>
  </si>
  <si>
    <t xml:space="preserve">ValidatingAdmissionPolicy (built into Kubernetes), not OPA; EKS audit logging on</t>
  </si>
  <si>
    <t xml:space="preserve">EKS audit log</t>
  </si>
  <si>
    <t xml:space="preserve">Same purpose, different engine; add OPA/Gatekeeper only if specifically required</t>
  </si>
  <si>
    <t xml:space="preserve">Central observability, cross-cluster dashboards</t>
  </si>
  <si>
    <t xml:space="preserve">Collector runs, but CENTRAL_OTLP_ENDPOINT is empty (local log only)</t>
  </si>
  <si>
    <t xml:space="preserve">Set CENTRAL_OTLP_ENDPOINT to your backend (Grafana, Datadog, etc.)</t>
  </si>
  <si>
    <t xml:space="preserve">Scaling: node autoscaling, multi-zone</t>
  </si>
  <si>
    <t xml:space="preserve">Gateway HPA yes; nodegroup fixed at 2 × t3.large, no node autoscaler</t>
  </si>
  <si>
    <t xml:space="preserve">Install Karpenter or Cluster Autoscaler (outside this repo)</t>
  </si>
  <si>
    <t xml:space="preserve">Summary by area and status</t>
  </si>
  <si>
    <t xml:space="preserve">Counts are formulas over the EKS Coverage tab; change a Status there and these update.</t>
  </si>
  <si>
    <t xml:space="preserve">Total</t>
  </si>
  <si>
    <t xml:space="preserve">Inside-EKS-box components met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</si>
</sst>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C6EFCE"/>
        </patternFill>
      </fill>
    </dxf>
    <dxf>
      <font>
        <name val="Arial"/>
        <charset val="1"/>
        <family val="0"/>
        <b val="1"/>
      </font>
      <fill>
        <patternFill>
          <bgColor rgb="FFBDD7EE"/>
        </patternFill>
      </fill>
    </dxf>
    <dxf>
      <font>
        <name val="Arial"/>
        <charset val="1"/>
        <family val="0"/>
        <b val="1"/>
      </font>
      <fill>
        <patternFill>
          <bgColor rgb="FFFFEB9C"/>
        </patternFill>
      </fill>
    </dxf>
    <dxf>
      <font>
        <name val="Arial"/>
        <charset val="1"/>
        <family val="0"/>
        <b val="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52"/>
    <col collapsed="false" customWidth="true" hidden="false" outlineLevel="0" max="6" min="6" style="0" width="38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/>
    </row>
    <row r="6" customFormat="false" ht="15" hidden="false" customHeight="false" outlineLevel="0" collapsed="false">
      <c r="A6" s="4" t="n">
        <v>2</v>
      </c>
      <c r="B6" s="4" t="s">
        <v>9</v>
      </c>
      <c r="C6" s="4" t="s">
        <v>14</v>
      </c>
      <c r="D6" s="4" t="s">
        <v>11</v>
      </c>
      <c r="E6" s="4" t="s">
        <v>15</v>
      </c>
      <c r="F6" s="4" t="s">
        <v>16</v>
      </c>
      <c r="G6" s="4"/>
    </row>
    <row r="7" customFormat="false" ht="15" hidden="false" customHeight="false" outlineLevel="0" collapsed="false">
      <c r="A7" s="4" t="n">
        <v>3</v>
      </c>
      <c r="B7" s="4" t="s">
        <v>9</v>
      </c>
      <c r="C7" s="4" t="s">
        <v>17</v>
      </c>
      <c r="D7" s="4" t="s">
        <v>11</v>
      </c>
      <c r="E7" s="4" t="s">
        <v>18</v>
      </c>
      <c r="F7" s="4" t="s">
        <v>13</v>
      </c>
      <c r="G7" s="4"/>
    </row>
    <row r="8" customFormat="false" ht="35.05" hidden="false" customHeight="false" outlineLevel="0" collapsed="false">
      <c r="A8" s="4" t="n">
        <v>4</v>
      </c>
      <c r="B8" s="4" t="s">
        <v>9</v>
      </c>
      <c r="C8" s="4" t="s">
        <v>19</v>
      </c>
      <c r="D8" s="4" t="s">
        <v>11</v>
      </c>
      <c r="E8" s="4" t="s">
        <v>20</v>
      </c>
      <c r="F8" s="4" t="s">
        <v>21</v>
      </c>
      <c r="G8" s="4"/>
    </row>
    <row r="9" customFormat="false" ht="23.85" hidden="false" customHeight="false" outlineLevel="0" collapsed="false">
      <c r="A9" s="4" t="n">
        <v>5</v>
      </c>
      <c r="B9" s="4" t="s">
        <v>9</v>
      </c>
      <c r="C9" s="4" t="s">
        <v>22</v>
      </c>
      <c r="D9" s="4" t="s">
        <v>11</v>
      </c>
      <c r="E9" s="4" t="s">
        <v>23</v>
      </c>
      <c r="F9" s="4" t="s">
        <v>24</v>
      </c>
      <c r="G9" s="4"/>
    </row>
    <row r="10" customFormat="false" ht="15" hidden="false" customHeight="false" outlineLevel="0" collapsed="false">
      <c r="A10" s="4" t="n">
        <v>6</v>
      </c>
      <c r="B10" s="4" t="s">
        <v>9</v>
      </c>
      <c r="C10" s="4" t="s">
        <v>25</v>
      </c>
      <c r="D10" s="4" t="s">
        <v>11</v>
      </c>
      <c r="E10" s="4" t="s">
        <v>26</v>
      </c>
      <c r="F10" s="4" t="s">
        <v>13</v>
      </c>
      <c r="G10" s="4"/>
    </row>
    <row r="11" customFormat="false" ht="23.85" hidden="false" customHeight="false" outlineLevel="0" collapsed="false">
      <c r="A11" s="4" t="n">
        <v>7</v>
      </c>
      <c r="B11" s="4" t="s">
        <v>9</v>
      </c>
      <c r="C11" s="4" t="s">
        <v>27</v>
      </c>
      <c r="D11" s="4" t="s">
        <v>11</v>
      </c>
      <c r="E11" s="4" t="s">
        <v>28</v>
      </c>
      <c r="F11" s="4" t="s">
        <v>29</v>
      </c>
      <c r="G11" s="4"/>
    </row>
    <row r="12" customFormat="false" ht="15" hidden="false" customHeight="false" outlineLevel="0" collapsed="false">
      <c r="A12" s="4" t="n">
        <v>8</v>
      </c>
      <c r="B12" s="4" t="s">
        <v>9</v>
      </c>
      <c r="C12" s="4" t="s">
        <v>30</v>
      </c>
      <c r="D12" s="4" t="s">
        <v>11</v>
      </c>
      <c r="E12" s="4" t="s">
        <v>31</v>
      </c>
      <c r="F12" s="4" t="s">
        <v>13</v>
      </c>
      <c r="G12" s="4"/>
    </row>
    <row r="13" customFormat="false" ht="23.85" hidden="false" customHeight="false" outlineLevel="0" collapsed="false">
      <c r="A13" s="4" t="n">
        <v>9</v>
      </c>
      <c r="B13" s="4" t="s">
        <v>9</v>
      </c>
      <c r="C13" s="4" t="s">
        <v>32</v>
      </c>
      <c r="D13" s="4" t="s">
        <v>11</v>
      </c>
      <c r="E13" s="4" t="s">
        <v>33</v>
      </c>
      <c r="F13" s="4" t="s">
        <v>13</v>
      </c>
      <c r="G13" s="4"/>
    </row>
    <row r="14" customFormat="false" ht="23.85" hidden="false" customHeight="false" outlineLevel="0" collapsed="false">
      <c r="A14" s="4" t="n">
        <v>10</v>
      </c>
      <c r="B14" s="4" t="s">
        <v>9</v>
      </c>
      <c r="C14" s="4" t="s">
        <v>34</v>
      </c>
      <c r="D14" s="4" t="s">
        <v>11</v>
      </c>
      <c r="E14" s="4" t="s">
        <v>35</v>
      </c>
      <c r="F14" s="4" t="s">
        <v>13</v>
      </c>
      <c r="G14" s="4"/>
    </row>
    <row r="15" customFormat="false" ht="15" hidden="false" customHeight="false" outlineLevel="0" collapsed="false">
      <c r="A15" s="4" t="n">
        <v>11</v>
      </c>
      <c r="B15" s="4" t="s">
        <v>9</v>
      </c>
      <c r="C15" s="4" t="s">
        <v>36</v>
      </c>
      <c r="D15" s="4" t="s">
        <v>11</v>
      </c>
      <c r="E15" s="4" t="s">
        <v>37</v>
      </c>
      <c r="F15" s="4" t="s">
        <v>13</v>
      </c>
      <c r="G15" s="4"/>
    </row>
    <row r="16" customFormat="false" ht="23.85" hidden="false" customHeight="false" outlineLevel="0" collapsed="false">
      <c r="A16" s="4" t="n">
        <v>12</v>
      </c>
      <c r="B16" s="4" t="s">
        <v>38</v>
      </c>
      <c r="C16" s="4" t="s">
        <v>39</v>
      </c>
      <c r="D16" s="4" t="s">
        <v>40</v>
      </c>
      <c r="E16" s="4" t="s">
        <v>41</v>
      </c>
      <c r="F16" s="4" t="s">
        <v>13</v>
      </c>
      <c r="G16" s="4"/>
    </row>
    <row r="17" customFormat="false" ht="23.85" hidden="false" customHeight="false" outlineLevel="0" collapsed="false">
      <c r="A17" s="4" t="n">
        <v>13</v>
      </c>
      <c r="B17" s="4" t="s">
        <v>38</v>
      </c>
      <c r="C17" s="4" t="s">
        <v>42</v>
      </c>
      <c r="D17" s="4" t="s">
        <v>40</v>
      </c>
      <c r="E17" s="4" t="s">
        <v>43</v>
      </c>
      <c r="F17" s="4" t="s">
        <v>44</v>
      </c>
      <c r="G17" s="4"/>
    </row>
    <row r="18" customFormat="false" ht="23.85" hidden="false" customHeight="false" outlineLevel="0" collapsed="false">
      <c r="A18" s="4" t="n">
        <v>14</v>
      </c>
      <c r="B18" s="4" t="s">
        <v>38</v>
      </c>
      <c r="C18" s="4" t="s">
        <v>45</v>
      </c>
      <c r="D18" s="4" t="s">
        <v>40</v>
      </c>
      <c r="E18" s="4" t="s">
        <v>46</v>
      </c>
      <c r="F18" s="4" t="s">
        <v>13</v>
      </c>
      <c r="G18" s="4"/>
    </row>
    <row r="19" customFormat="false" ht="15" hidden="false" customHeight="false" outlineLevel="0" collapsed="false">
      <c r="A19" s="4" t="n">
        <v>15</v>
      </c>
      <c r="B19" s="4" t="s">
        <v>38</v>
      </c>
      <c r="C19" s="4" t="s">
        <v>47</v>
      </c>
      <c r="D19" s="4" t="s">
        <v>40</v>
      </c>
      <c r="E19" s="4" t="s">
        <v>48</v>
      </c>
      <c r="F19" s="4" t="s">
        <v>13</v>
      </c>
      <c r="G19" s="4"/>
    </row>
    <row r="20" customFormat="false" ht="23.85" hidden="false" customHeight="false" outlineLevel="0" collapsed="false">
      <c r="A20" s="4" t="n">
        <v>16</v>
      </c>
      <c r="B20" s="4" t="s">
        <v>38</v>
      </c>
      <c r="C20" s="4" t="s">
        <v>49</v>
      </c>
      <c r="D20" s="4" t="s">
        <v>40</v>
      </c>
      <c r="E20" s="4" t="s">
        <v>50</v>
      </c>
      <c r="F20" s="4" t="s">
        <v>13</v>
      </c>
      <c r="G20" s="4"/>
    </row>
    <row r="21" customFormat="false" ht="23.85" hidden="false" customHeight="false" outlineLevel="0" collapsed="false">
      <c r="A21" s="4" t="n">
        <v>17</v>
      </c>
      <c r="B21" s="4" t="s">
        <v>38</v>
      </c>
      <c r="C21" s="4" t="s">
        <v>51</v>
      </c>
      <c r="D21" s="4" t="s">
        <v>40</v>
      </c>
      <c r="E21" s="4" t="s">
        <v>52</v>
      </c>
      <c r="F21" s="4" t="s">
        <v>13</v>
      </c>
      <c r="G21" s="4"/>
    </row>
    <row r="22" customFormat="false" ht="23.85" hidden="false" customHeight="false" outlineLevel="0" collapsed="false">
      <c r="A22" s="4" t="n">
        <v>18</v>
      </c>
      <c r="B22" s="4" t="s">
        <v>53</v>
      </c>
      <c r="C22" s="4" t="s">
        <v>54</v>
      </c>
      <c r="D22" s="4" t="s">
        <v>55</v>
      </c>
      <c r="E22" s="4" t="s">
        <v>56</v>
      </c>
      <c r="F22" s="4" t="s">
        <v>57</v>
      </c>
      <c r="G22" s="4" t="s">
        <v>58</v>
      </c>
    </row>
    <row r="23" customFormat="false" ht="23.85" hidden="false" customHeight="false" outlineLevel="0" collapsed="false">
      <c r="A23" s="4" t="n">
        <v>19</v>
      </c>
      <c r="B23" s="4" t="s">
        <v>53</v>
      </c>
      <c r="C23" s="4" t="s">
        <v>59</v>
      </c>
      <c r="D23" s="4" t="s">
        <v>60</v>
      </c>
      <c r="E23" s="4" t="s">
        <v>61</v>
      </c>
      <c r="F23" s="4" t="s">
        <v>57</v>
      </c>
      <c r="G23" s="4" t="s">
        <v>62</v>
      </c>
    </row>
    <row r="24" customFormat="false" ht="23.85" hidden="false" customHeight="false" outlineLevel="0" collapsed="false">
      <c r="A24" s="4" t="n">
        <v>20</v>
      </c>
      <c r="B24" s="4" t="s">
        <v>53</v>
      </c>
      <c r="C24" s="4" t="s">
        <v>63</v>
      </c>
      <c r="D24" s="4" t="s">
        <v>60</v>
      </c>
      <c r="E24" s="4" t="s">
        <v>64</v>
      </c>
      <c r="F24" s="4" t="s">
        <v>57</v>
      </c>
      <c r="G24" s="4" t="s">
        <v>65</v>
      </c>
    </row>
    <row r="25" customFormat="false" ht="23.85" hidden="false" customHeight="false" outlineLevel="0" collapsed="false">
      <c r="A25" s="4" t="n">
        <v>21</v>
      </c>
      <c r="B25" s="4" t="s">
        <v>53</v>
      </c>
      <c r="C25" s="4" t="s">
        <v>66</v>
      </c>
      <c r="D25" s="4" t="s">
        <v>60</v>
      </c>
      <c r="E25" s="4" t="s">
        <v>67</v>
      </c>
      <c r="F25" s="4" t="s">
        <v>68</v>
      </c>
      <c r="G25" s="4" t="s">
        <v>69</v>
      </c>
    </row>
    <row r="26" customFormat="false" ht="23.85" hidden="false" customHeight="false" outlineLevel="0" collapsed="false">
      <c r="A26" s="4" t="n">
        <v>22</v>
      </c>
      <c r="B26" s="4" t="s">
        <v>53</v>
      </c>
      <c r="C26" s="4" t="s">
        <v>70</v>
      </c>
      <c r="D26" s="4" t="s">
        <v>55</v>
      </c>
      <c r="E26" s="4" t="s">
        <v>71</v>
      </c>
      <c r="F26" s="4" t="s">
        <v>57</v>
      </c>
      <c r="G26" s="4" t="s">
        <v>72</v>
      </c>
    </row>
    <row r="27" customFormat="false" ht="23.85" hidden="false" customHeight="false" outlineLevel="0" collapsed="false">
      <c r="A27" s="4" t="n">
        <v>23</v>
      </c>
      <c r="B27" s="4" t="s">
        <v>53</v>
      </c>
      <c r="C27" s="4" t="s">
        <v>73</v>
      </c>
      <c r="D27" s="4" t="s">
        <v>60</v>
      </c>
      <c r="E27" s="4" t="s">
        <v>74</v>
      </c>
      <c r="F27" s="4" t="s">
        <v>57</v>
      </c>
      <c r="G27" s="4" t="s">
        <v>75</v>
      </c>
    </row>
  </sheetData>
  <autoFilter ref="A4:G27"/>
  <conditionalFormatting sqref="D5:D27">
    <cfRule type="cellIs" priority="2" operator="equal" aboveAverage="0" equalAverage="0" bottom="0" percent="0" rank="0" text="" dxfId="7">
      <formula>"Met"</formula>
    </cfRule>
    <cfRule type="cellIs" priority="3" operator="equal" aboveAverage="0" equalAverage="0" bottom="0" percent="0" rank="0" text="" dxfId="8">
      <formula>"Exceeds"</formula>
    </cfRule>
    <cfRule type="cellIs" priority="4" operator="equal" aboveAverage="0" equalAverage="0" bottom="0" percent="0" rank="0" text="" dxfId="9">
      <formula>"Partial"</formula>
    </cfRule>
    <cfRule type="cellIs" priority="5" operator="equal" aboveAverage="0" equalAverage="0" bottom="0" percent="0" rank="0" text="" dxfId="10">
      <formula>"Not met"</formula>
    </cfRule>
  </conditionalFormatting>
  <dataValidations count="1">
    <dataValidation allowBlank="false" errorStyle="stop" operator="between" showDropDown="false" showErrorMessage="false" showInputMessage="false" sqref="D5:D27" type="list">
      <formula1>"Met,Exceeds,Partial,Not met"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5" t="s">
        <v>3</v>
      </c>
      <c r="B4" s="5" t="s">
        <v>11</v>
      </c>
      <c r="C4" s="5" t="s">
        <v>40</v>
      </c>
      <c r="D4" s="5" t="s">
        <v>60</v>
      </c>
      <c r="E4" s="5" t="s">
        <v>55</v>
      </c>
      <c r="F4" s="5" t="s">
        <v>78</v>
      </c>
    </row>
    <row r="5" customFormat="false" ht="15" hidden="false" customHeight="false" outlineLevel="0" collapsed="false">
      <c r="A5" s="6" t="s">
        <v>9</v>
      </c>
      <c r="B5" s="6" t="n">
        <f aca="false">COUNTIFS('EKS Coverage'!$B$5:$B$27,$A5,'EKS Coverage'!$D$5:$D$27,B$4)</f>
        <v>11</v>
      </c>
      <c r="C5" s="6" t="n">
        <f aca="false">COUNTIFS('EKS Coverage'!$B$5:$B$27,$A5,'EKS Coverage'!$D$5:$D$27,C$4)</f>
        <v>0</v>
      </c>
      <c r="D5" s="6" t="n">
        <f aca="false">COUNTIFS('EKS Coverage'!$B$5:$B$27,$A5,'EKS Coverage'!$D$5:$D$27,D$4)</f>
        <v>0</v>
      </c>
      <c r="E5" s="6" t="n">
        <f aca="false">COUNTIFS('EKS Coverage'!$B$5:$B$27,$A5,'EKS Coverage'!$D$5:$D$27,E$4)</f>
        <v>0</v>
      </c>
      <c r="F5" s="6" t="n">
        <f aca="false">SUM(B5:E5)</f>
        <v>11</v>
      </c>
    </row>
    <row r="6" customFormat="false" ht="15" hidden="false" customHeight="false" outlineLevel="0" collapsed="false">
      <c r="A6" s="6" t="s">
        <v>38</v>
      </c>
      <c r="B6" s="6" t="n">
        <f aca="false">COUNTIFS('EKS Coverage'!$B$5:$B$27,$A6,'EKS Coverage'!$D$5:$D$27,B$4)</f>
        <v>0</v>
      </c>
      <c r="C6" s="6" t="n">
        <f aca="false">COUNTIFS('EKS Coverage'!$B$5:$B$27,$A6,'EKS Coverage'!$D$5:$D$27,C$4)</f>
        <v>6</v>
      </c>
      <c r="D6" s="6" t="n">
        <f aca="false">COUNTIFS('EKS Coverage'!$B$5:$B$27,$A6,'EKS Coverage'!$D$5:$D$27,D$4)</f>
        <v>0</v>
      </c>
      <c r="E6" s="6" t="n">
        <f aca="false">COUNTIFS('EKS Coverage'!$B$5:$B$27,$A6,'EKS Coverage'!$D$5:$D$27,E$4)</f>
        <v>0</v>
      </c>
      <c r="F6" s="6" t="n">
        <f aca="false">SUM(B6:E6)</f>
        <v>6</v>
      </c>
    </row>
    <row r="7" customFormat="false" ht="15" hidden="false" customHeight="false" outlineLevel="0" collapsed="false">
      <c r="A7" s="6" t="s">
        <v>53</v>
      </c>
      <c r="B7" s="6" t="n">
        <f aca="false">COUNTIFS('EKS Coverage'!$B$5:$B$27,$A7,'EKS Coverage'!$D$5:$D$27,B$4)</f>
        <v>0</v>
      </c>
      <c r="C7" s="6" t="n">
        <f aca="false">COUNTIFS('EKS Coverage'!$B$5:$B$27,$A7,'EKS Coverage'!$D$5:$D$27,C$4)</f>
        <v>0</v>
      </c>
      <c r="D7" s="6" t="n">
        <f aca="false">COUNTIFS('EKS Coverage'!$B$5:$B$27,$A7,'EKS Coverage'!$D$5:$D$27,D$4)</f>
        <v>4</v>
      </c>
      <c r="E7" s="6" t="n">
        <f aca="false">COUNTIFS('EKS Coverage'!$B$5:$B$27,$A7,'EKS Coverage'!$D$5:$D$27,E$4)</f>
        <v>2</v>
      </c>
      <c r="F7" s="6" t="n">
        <f aca="false">SUM(B7:E7)</f>
        <v>6</v>
      </c>
    </row>
    <row r="8" customFormat="false" ht="15" hidden="false" customHeight="false" outlineLevel="0" collapsed="false">
      <c r="A8" s="7" t="s">
        <v>78</v>
      </c>
      <c r="B8" s="7" t="n">
        <f aca="false">SUM(B5:B7)</f>
        <v>11</v>
      </c>
      <c r="C8" s="7" t="n">
        <f aca="false">SUM(C5:C7)</f>
        <v>6</v>
      </c>
      <c r="D8" s="7" t="n">
        <f aca="false">SUM(D5:D7)</f>
        <v>4</v>
      </c>
      <c r="E8" s="7" t="n">
        <f aca="false">SUM(E5:E7)</f>
        <v>2</v>
      </c>
      <c r="F8" s="7" t="n">
        <f aca="false">SUM(F5:F7)</f>
        <v>23</v>
      </c>
    </row>
    <row r="10" customFormat="false" ht="15" hidden="false" customHeight="false" outlineLevel="0" collapsed="false">
      <c r="A10" s="8" t="s">
        <v>79</v>
      </c>
      <c r="B10" s="9" t="n">
        <f aca="false">IFERROR(B5/F5,0)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2026-10-02T07:28:05Z</dcterms:created>
  <dc:creator>openpyxl</dc:creator>
  <dc:description/>
  <dc:language>en-US</dc:language>
  <cp:lastModifiedBy/>
  <dcterms:modified xsi:type="dcterms:W3CDTF">2026-10-02T07:28:05Z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